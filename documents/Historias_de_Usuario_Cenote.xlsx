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tecnm9-my.sharepoint.com/personal/le23080261_merida_tecnm_mx/Documents/GESTIÓN DE PROYECTOS DE SOFTWARE/"/>
    </mc:Choice>
  </mc:AlternateContent>
  <xr:revisionPtr revIDLastSave="727" documentId="11_F4C331B592ECC398DC46C42F361FD264674554AA" xr6:coauthVersionLast="47" xr6:coauthVersionMax="47" xr10:uidLastSave="{3C303C60-A096-408C-8F91-41846BCBFA82}"/>
  <bookViews>
    <workbookView xWindow="-110" yWindow="-110" windowWidth="19420" windowHeight="10300" firstSheet="1" activeTab="2" xr2:uid="{00000000-000D-0000-FFFF-FFFF00000000}"/>
  </bookViews>
  <sheets>
    <sheet name="Product Backlog" sheetId="1" r:id="rId1"/>
    <sheet name="Documentación" sheetId="2" r:id="rId2"/>
    <sheet name="Sprint 1" sheetId="3" r:id="rId3"/>
    <sheet name="Sprint 2" sheetId="4" r:id="rId4"/>
    <sheet name="Sprint 3" sheetId="5" r:id="rId5"/>
    <sheet name="Sprint 4" sheetId="6" r:id="rId6"/>
  </sheets>
  <definedNames>
    <definedName name="_xlnm._FilterDatabase" localSheetId="0" hidden="1">'Product Backlog'!$A$1:$E$38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9" i="5"/>
  <c r="E12" i="4"/>
  <c r="E9" i="6"/>
  <c r="E37" i="1"/>
</calcChain>
</file>

<file path=xl/sharedStrings.xml><?xml version="1.0" encoding="utf-8"?>
<sst xmlns="http://schemas.openxmlformats.org/spreadsheetml/2006/main" count="314" uniqueCount="126">
  <si>
    <t>ID</t>
  </si>
  <si>
    <t>Como [rol del usuario]</t>
  </si>
  <si>
    <t>Quiero [acción]</t>
  </si>
  <si>
    <t>Para [beneficio]</t>
  </si>
  <si>
    <t>Puntaje</t>
  </si>
  <si>
    <t>HU021</t>
  </si>
  <si>
    <t>Como visitante del sitio web interesado en la información del cenote</t>
  </si>
  <si>
    <t>quiero ver una ruta sugerida desde mi ubicación actual</t>
  </si>
  <si>
    <t>para llegar de forma sencilla y sin perderme derante el recorrido</t>
  </si>
  <si>
    <t>HU005</t>
  </si>
  <si>
    <t>quiero ver una galería de fotos en alta definición y una lista de las actividades disponibles (como snorkel, tirolesa o buceo)</t>
  </si>
  <si>
    <t>para convencerme de que es el lugar ideal para visitar y saber qué equipo debo llevar</t>
  </si>
  <si>
    <t>HU009</t>
  </si>
  <si>
    <t>quiero poder cambiar el idioma de la página a inglés</t>
  </si>
  <si>
    <t>para comprender toda la información del cenote y planear mi visita sin dificultades</t>
  </si>
  <si>
    <t>HU034</t>
  </si>
  <si>
    <t>Como administrador</t>
  </si>
  <si>
    <t xml:space="preserve">quiero tener un usuario y contraseña que me permita acceder al dashboard </t>
  </si>
  <si>
    <t>para manejar el contendido de la página web</t>
  </si>
  <si>
    <t>HU035</t>
  </si>
  <si>
    <t>quiero tener la opción de cerrar sesión</t>
  </si>
  <si>
    <t>para salirme del dashboard.</t>
  </si>
  <si>
    <t>HU001</t>
  </si>
  <si>
    <t>quiero ver la ubicación exacta del cenote en la página web</t>
  </si>
  <si>
    <t>para planificar mi itinerario de viaje sin contratiempos y saber cuánto voy a gastar en el transporte</t>
  </si>
  <si>
    <t>HU002</t>
  </si>
  <si>
    <t>quiero ver los horarios y días que el cenote se encuentra abierto al público</t>
  </si>
  <si>
    <t>para planificar mi viaje conforme a esos horarios establecidos</t>
  </si>
  <si>
    <t>HU015</t>
  </si>
  <si>
    <t>quiero consultar las opciones de transporte y rutas para llegar al cenote</t>
  </si>
  <si>
    <t>para planificar mi recorrido de forma sencilla y económica</t>
  </si>
  <si>
    <t>HU020</t>
  </si>
  <si>
    <t>quiero enviar un mensaje de contacto desde el sitio</t>
  </si>
  <si>
    <t>Para hacer una solicitud sobre alguna información especial directamente al administrador del cenote.</t>
  </si>
  <si>
    <t>HU022</t>
  </si>
  <si>
    <t xml:space="preserve"> quiero actualizar la información general del cenote</t>
  </si>
  <si>
    <t xml:space="preserve"> para mantener el contenido de la página siempre actualizado.</t>
  </si>
  <si>
    <t>HU023</t>
  </si>
  <si>
    <t xml:space="preserve"> quiero agregar editar o eliminar imágenes de la galería</t>
  </si>
  <si>
    <t xml:space="preserve"> para mostrar contenido visual reciente y atractivo para los usuarios.</t>
  </si>
  <si>
    <t>HU024</t>
  </si>
  <si>
    <t xml:space="preserve"> quiero consultar las solicitudes enviadas desde el formulario de contacto</t>
  </si>
  <si>
    <t xml:space="preserve"> para responder oportunamente a las consultas de los visitantes.</t>
  </si>
  <si>
    <t>HU025</t>
  </si>
  <si>
    <t xml:space="preserve"> quiero actualizar los horarios de apertura y cierre del cenote</t>
  </si>
  <si>
    <t xml:space="preserve"> para brindar información correcta a los usuarios.</t>
  </si>
  <si>
    <t>HU026</t>
  </si>
  <si>
    <t xml:space="preserve"> quiero modificar los costos de entrada cuando sea necesario</t>
  </si>
  <si>
    <t xml:space="preserve"> para mantener la información vigente en el sitio web.</t>
  </si>
  <si>
    <t>HU027</t>
  </si>
  <si>
    <t xml:space="preserve"> quiero actualizar la información sobre las actividades disponibles en el cenote</t>
  </si>
  <si>
    <t xml:space="preserve"> para ofrecer datos precisos a los visitantes.</t>
  </si>
  <si>
    <t>HU028</t>
  </si>
  <si>
    <t xml:space="preserve"> quiero editar la información de contacto del cenote</t>
  </si>
  <si>
    <t xml:space="preserve"> para asegurar que los usuarios puedan comunicarse utilizando datos correctos.</t>
  </si>
  <si>
    <t>HU029</t>
  </si>
  <si>
    <t xml:space="preserve"> quiero administrar la sección de preguntas frecuentes</t>
  </si>
  <si>
    <t xml:space="preserve"> para mantener respuestas claras y actualizadas a las dudas más comunes de los usuarios.</t>
  </si>
  <si>
    <t>HU030</t>
  </si>
  <si>
    <t xml:space="preserve"> quiero actualizar las reglas y recomendaciones para visitar el cenote</t>
  </si>
  <si>
    <t xml:space="preserve"> para promover la seguridad de los visitantes y la conservación del entorno natural.</t>
  </si>
  <si>
    <t>HU031</t>
  </si>
  <si>
    <t xml:space="preserve"> quiero consultar un panel con el resumen de las solicitudes recibidas</t>
  </si>
  <si>
    <t xml:space="preserve"> para dar seguimiento de manera organizada a las consultas enviadas por los usuarios.</t>
  </si>
  <si>
    <t>HU032</t>
  </si>
  <si>
    <t xml:space="preserve">Como administrador </t>
  </si>
  <si>
    <t>quiero recibir los mensajes del formulario de contacto directamente en nuestro correo electrónico corporativo</t>
  </si>
  <si>
    <t>para responder rápidamente a las dudas de los clientes o cotizar eventos especiales</t>
  </si>
  <si>
    <t>HU033</t>
  </si>
  <si>
    <t>quiero que tenga el logo de las redes sociales y que te lleve a ellas dandoles un click</t>
  </si>
  <si>
    <t xml:space="preserve">para que se puedan contactar por otros medios </t>
  </si>
  <si>
    <t>HU003</t>
  </si>
  <si>
    <t>quiero conocer la historia y los valores del cenote</t>
  </si>
  <si>
    <t>para sentir más confianza antes de visitarlo.</t>
  </si>
  <si>
    <t>HU004</t>
  </si>
  <si>
    <t>quiero ver los precios de la entrada de dicho lugar</t>
  </si>
  <si>
    <t>para planificar mis posibles gastos durante mi visita</t>
  </si>
  <si>
    <t>HU006</t>
  </si>
  <si>
    <t>quiero información donde se detalle si hay chalecos salvavidas incluidos</t>
  </si>
  <si>
    <t>para asegurarme de que el lugar es seguro y cómodo para toda mi familia</t>
  </si>
  <si>
    <t>HU007</t>
  </si>
  <si>
    <t>quiero ver una sección de promociones o descuentos especiales para residentes locales</t>
  </si>
  <si>
    <t>para aprovechar un precio más accesible y visitar el cenote de manera frecuente</t>
  </si>
  <si>
    <t>HU008</t>
  </si>
  <si>
    <t>quiero encontrar un apartado con información exclusiva para mayoristas y opciones de estacionamiento para autobuses</t>
  </si>
  <si>
    <t>para evaluar si puedo incluir este cenote dentro de los paquetes vacacionales que ofrezco a mis grupos</t>
  </si>
  <si>
    <t>HU010</t>
  </si>
  <si>
    <t>quiero conocer las reglas para tomar fotografías y usar drones</t>
  </si>
  <si>
    <t>para preparar mi equipo y respetar las políticas del lugar durante mi visita</t>
  </si>
  <si>
    <t>HU011</t>
  </si>
  <si>
    <t>quiero consultar la información sobre accesibilidad e instalaciones adaptadas</t>
  </si>
  <si>
    <t>para saber si puedo visitar el cenote de forma cómoda y segura</t>
  </si>
  <si>
    <t>HU012</t>
  </si>
  <si>
    <t>quiero conocer las reglas ecológicas del cenote</t>
  </si>
  <si>
    <t>para colaborar en la conservación del lugar</t>
  </si>
  <si>
    <t>HU013</t>
  </si>
  <si>
    <t>quiero ver una descripción clara de los atractivos principales de este lugar</t>
  </si>
  <si>
    <t>para decidir si es la mejor opción para mi viaje</t>
  </si>
  <si>
    <t>HU014</t>
  </si>
  <si>
    <t>quiero identificar si el cenotes cuentan con áreas seguras y servicios familiares</t>
  </si>
  <si>
    <t>para disfrutar de una visita cómoda y adecuada para todos los integrantes de mi familia</t>
  </si>
  <si>
    <t>HU016</t>
  </si>
  <si>
    <t>quiero conocer si el lugar cuenta con restaurante o establecimientos que vendan comida y bebidas</t>
  </si>
  <si>
    <t>para estar preparado si quiero estar un tiempo largo en el lugar y no estar en busca de ellos</t>
  </si>
  <si>
    <t>HU017</t>
  </si>
  <si>
    <t>quiero conocer si el lugar cuenta con estacionamiento</t>
  </si>
  <si>
    <t>para estar preparado y no tener preocupaciones sobre dónde dejar mi vehículo</t>
  </si>
  <si>
    <t>HU018</t>
  </si>
  <si>
    <t>quiero conocer si el lugar cuanta con áreas de descanso</t>
  </si>
  <si>
    <t>para estar cómodo en momentos de descanso en el lugar</t>
  </si>
  <si>
    <t>HU019</t>
  </si>
  <si>
    <t>quiero conocer si el lugar cuenta con baños</t>
  </si>
  <si>
    <t>para hacer una planeación correcta de nuestro tiempo en el lugar y no tener situaciones inesperadas</t>
  </si>
  <si>
    <t>Definición de hecho</t>
  </si>
  <si>
    <t>El equipo acordó los siguientes puntos como su Definition of Done:</t>
  </si>
  <si>
    <t>El código fue escrito y funciona correctamente según lo descrito en la historia de usuario.</t>
  </si>
  <si>
    <t>Se aprobaron las pruebas correspondientes</t>
  </si>
  <si>
    <t>Se tiene la documentación correspondiente</t>
  </si>
  <si>
    <t>Puntuación de las historias de usuario</t>
  </si>
  <si>
    <t>El equipo decidió hacer una puntuación de 1 a 4 considerando la complejidad y el tiempo que tomaría llegar al DoD de una historia de usuario, como se describe a continuación:</t>
  </si>
  <si>
    <t>1 — Fácil, poca complejidad: Tareas simples, casi sin lógica de back-end, poco tiempo de desarrollo. El equipo de desarrollo puede terminarlo rápido sin mayores complicaciones.</t>
  </si>
  <si>
    <t>2 — Moderado, algo de trabajo pero manejable: Requiere algo de lógica o integración entre front y back.</t>
  </si>
  <si>
    <t>3 — Complejo, requiere esfuerzo considerable: Implica lógica más elaborada, integración de varias partes del sistema, o algo que el equipo no ha hecho antes.</t>
  </si>
  <si>
    <t>4 — Muy complejo, alta dificultad o incertidumbre: La historia más difícil del proyecto, puede implicar investigación, riesgo de errores, o mucho tiempo de desarrollo.</t>
  </si>
  <si>
    <t>Puntaje por Sprint</t>
  </si>
  <si>
    <t xml:space="preserve">El proyecto se organizó en 4 sprints. Cada sprint agrupa las historias de usuario que se desarrollarán durante ese periodo, y su puntaje total es la suma de los puntos de complejidad de las historias que lo integran.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</si>
</sst>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theme="1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5F"/>
        <bgColor rgb="FF1F4E5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0" fillId="11" borderId="0" xfId="0" applyFill="1" applyAlignment="1">
      <alignment horizontal="center"/>
    </xf>
    <xf numFmtId="0" fontId="0" fillId="0" borderId="0" xfId="0" applyAlignment="1">
      <alignment vertical="top" wrapText="1"/>
    </xf>
    <xf numFmtId="0" fontId="0" fillId="9" borderId="0" xfId="0" applyFill="1" applyAlignment="1">
      <alignment vertical="top" wrapText="1"/>
    </xf>
    <xf numFmtId="0" fontId="0" fillId="9" borderId="0" xfId="0" applyFill="1" applyAlignment="1">
      <alignment vertical="top"/>
    </xf>
    <xf numFmtId="0" fontId="0" fillId="10" borderId="0" xfId="0" applyFill="1" applyAlignment="1">
      <alignment vertical="top" wrapText="1"/>
    </xf>
    <xf numFmtId="0" fontId="0" fillId="10" borderId="0" xfId="0" applyFill="1" applyAlignment="1">
      <alignment vertical="top"/>
    </xf>
    <xf numFmtId="0" fontId="0" fillId="5" borderId="0" xfId="0" applyFill="1" applyAlignment="1">
      <alignment horizontal="center"/>
    </xf>
    <xf numFmtId="0" fontId="0" fillId="0" borderId="0" xfId="0" applyAlignment="1">
      <alignment horizontal="left"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8" borderId="0" xfId="0" applyFill="1" applyAlignment="1">
      <alignment vertical="top"/>
    </xf>
    <xf numFmtId="0" fontId="0" fillId="6" borderId="0" xfId="0" applyFill="1" applyAlignment="1">
      <alignment horizontal="center"/>
    </xf>
    <xf numFmtId="0" fontId="0" fillId="0" borderId="0" xfId="0" applyAlignment="1"/>
    <xf numFmtId="0" fontId="0" fillId="3" borderId="0" xfId="0" applyFill="1" applyAlignment="1"/>
    <xf numFmtId="0" fontId="0" fillId="4" borderId="0" xfId="0" applyFill="1" applyAlignment="1"/>
    <xf numFmtId="0" fontId="0" fillId="12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opLeftCell="A3" zoomScale="79" zoomScaleNormal="79" workbookViewId="0">
      <selection activeCell="A9" sqref="A9:E9"/>
    </sheetView>
  </sheetViews>
  <sheetFormatPr defaultColWidth="8.7109375" defaultRowHeight="14.45"/>
  <cols>
    <col min="1" max="1" width="10" customWidth="1"/>
    <col min="2" max="2" width="23.85546875" customWidth="1"/>
    <col min="3" max="3" width="52.5703125" customWidth="1"/>
    <col min="4" max="4" width="37.85546875" customWidth="1"/>
    <col min="5" max="5" width="1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customHeight="1">
      <c r="A2" s="7" t="s">
        <v>5</v>
      </c>
      <c r="B2" s="3" t="s">
        <v>6</v>
      </c>
      <c r="C2" s="3" t="s">
        <v>7</v>
      </c>
      <c r="D2" s="3" t="s">
        <v>8</v>
      </c>
      <c r="E2">
        <v>4</v>
      </c>
    </row>
    <row r="3" spans="1:5" ht="45" customHeight="1">
      <c r="A3" s="7" t="s">
        <v>9</v>
      </c>
      <c r="B3" s="3" t="s">
        <v>6</v>
      </c>
      <c r="C3" s="3" t="s">
        <v>10</v>
      </c>
      <c r="D3" s="3" t="s">
        <v>11</v>
      </c>
      <c r="E3">
        <v>3</v>
      </c>
    </row>
    <row r="4" spans="1:5" ht="45" customHeight="1">
      <c r="A4" s="7" t="s">
        <v>12</v>
      </c>
      <c r="B4" s="3" t="s">
        <v>6</v>
      </c>
      <c r="C4" s="9" t="s">
        <v>13</v>
      </c>
      <c r="D4" s="9" t="s">
        <v>14</v>
      </c>
      <c r="E4">
        <v>3</v>
      </c>
    </row>
    <row r="5" spans="1:5" ht="45" customHeight="1">
      <c r="A5" s="7" t="s">
        <v>15</v>
      </c>
      <c r="B5" s="3" t="s">
        <v>16</v>
      </c>
      <c r="C5" s="3" t="s">
        <v>17</v>
      </c>
      <c r="D5" s="3" t="s">
        <v>18</v>
      </c>
      <c r="E5">
        <v>3</v>
      </c>
    </row>
    <row r="6" spans="1:5" ht="45" customHeight="1">
      <c r="A6" s="7" t="s">
        <v>19</v>
      </c>
      <c r="B6" s="3" t="s">
        <v>16</v>
      </c>
      <c r="C6" s="3" t="s">
        <v>20</v>
      </c>
      <c r="D6" s="3" t="s">
        <v>21</v>
      </c>
      <c r="E6">
        <v>3</v>
      </c>
    </row>
    <row r="7" spans="1:5" ht="45" customHeight="1">
      <c r="A7" s="2" t="s">
        <v>22</v>
      </c>
      <c r="B7" s="3" t="s">
        <v>6</v>
      </c>
      <c r="C7" s="3" t="s">
        <v>23</v>
      </c>
      <c r="D7" s="3" t="s">
        <v>24</v>
      </c>
      <c r="E7">
        <v>2</v>
      </c>
    </row>
    <row r="8" spans="1:5" ht="45" customHeight="1">
      <c r="A8" s="2" t="s">
        <v>25</v>
      </c>
      <c r="B8" s="3" t="s">
        <v>6</v>
      </c>
      <c r="C8" s="3" t="s">
        <v>26</v>
      </c>
      <c r="D8" s="3" t="s">
        <v>27</v>
      </c>
      <c r="E8">
        <v>2</v>
      </c>
    </row>
    <row r="9" spans="1:5" ht="45" customHeight="1">
      <c r="A9" s="7" t="s">
        <v>28</v>
      </c>
      <c r="B9" s="3" t="s">
        <v>6</v>
      </c>
      <c r="C9" s="3" t="s">
        <v>29</v>
      </c>
      <c r="D9" s="3" t="s">
        <v>30</v>
      </c>
      <c r="E9">
        <v>2</v>
      </c>
    </row>
    <row r="10" spans="1:5" ht="45" customHeight="1">
      <c r="A10" s="7" t="s">
        <v>31</v>
      </c>
      <c r="B10" s="3" t="s">
        <v>6</v>
      </c>
      <c r="C10" s="12" t="s">
        <v>32</v>
      </c>
      <c r="D10" s="3" t="s">
        <v>33</v>
      </c>
      <c r="E10">
        <v>2</v>
      </c>
    </row>
    <row r="11" spans="1:5" ht="45" customHeight="1">
      <c r="A11" s="7" t="s">
        <v>34</v>
      </c>
      <c r="B11" s="3" t="s">
        <v>16</v>
      </c>
      <c r="C11" s="3" t="s">
        <v>35</v>
      </c>
      <c r="D11" s="3" t="s">
        <v>36</v>
      </c>
      <c r="E11">
        <v>2</v>
      </c>
    </row>
    <row r="12" spans="1:5" ht="45" customHeight="1">
      <c r="A12" s="7" t="s">
        <v>37</v>
      </c>
      <c r="B12" s="3" t="s">
        <v>16</v>
      </c>
      <c r="C12" s="3" t="s">
        <v>38</v>
      </c>
      <c r="D12" s="3" t="s">
        <v>39</v>
      </c>
      <c r="E12">
        <v>2</v>
      </c>
    </row>
    <row r="13" spans="1:5" ht="45" customHeight="1">
      <c r="A13" s="7" t="s">
        <v>40</v>
      </c>
      <c r="B13" s="3" t="s">
        <v>16</v>
      </c>
      <c r="C13" s="3" t="s">
        <v>41</v>
      </c>
      <c r="D13" s="3" t="s">
        <v>42</v>
      </c>
      <c r="E13">
        <v>2</v>
      </c>
    </row>
    <row r="14" spans="1:5" ht="45" customHeight="1">
      <c r="A14" s="7" t="s">
        <v>43</v>
      </c>
      <c r="B14" s="3" t="s">
        <v>16</v>
      </c>
      <c r="C14" s="3" t="s">
        <v>44</v>
      </c>
      <c r="D14" s="3" t="s">
        <v>45</v>
      </c>
      <c r="E14">
        <v>2</v>
      </c>
    </row>
    <row r="15" spans="1:5" ht="45" customHeight="1">
      <c r="A15" s="7" t="s">
        <v>46</v>
      </c>
      <c r="B15" s="3" t="s">
        <v>16</v>
      </c>
      <c r="C15" s="3" t="s">
        <v>47</v>
      </c>
      <c r="D15" s="3" t="s">
        <v>48</v>
      </c>
      <c r="E15">
        <v>2</v>
      </c>
    </row>
    <row r="16" spans="1:5" ht="45" customHeight="1">
      <c r="A16" s="7" t="s">
        <v>49</v>
      </c>
      <c r="B16" s="3" t="s">
        <v>16</v>
      </c>
      <c r="C16" s="3" t="s">
        <v>50</v>
      </c>
      <c r="D16" s="3" t="s">
        <v>51</v>
      </c>
      <c r="E16">
        <v>2</v>
      </c>
    </row>
    <row r="17" spans="1:5" ht="45" customHeight="1">
      <c r="A17" s="7" t="s">
        <v>52</v>
      </c>
      <c r="B17" s="3" t="s">
        <v>16</v>
      </c>
      <c r="C17" s="5" t="s">
        <v>53</v>
      </c>
      <c r="D17" s="5" t="s">
        <v>54</v>
      </c>
      <c r="E17">
        <v>2</v>
      </c>
    </row>
    <row r="18" spans="1:5" ht="45" customHeight="1">
      <c r="A18" s="7" t="s">
        <v>55</v>
      </c>
      <c r="B18" s="3" t="s">
        <v>16</v>
      </c>
      <c r="C18" s="5" t="s">
        <v>56</v>
      </c>
      <c r="D18" s="5" t="s">
        <v>57</v>
      </c>
      <c r="E18">
        <v>2</v>
      </c>
    </row>
    <row r="19" spans="1:5" ht="45" customHeight="1">
      <c r="A19" s="7" t="s">
        <v>58</v>
      </c>
      <c r="B19" s="3" t="s">
        <v>16</v>
      </c>
      <c r="C19" s="5" t="s">
        <v>59</v>
      </c>
      <c r="D19" s="5" t="s">
        <v>60</v>
      </c>
      <c r="E19">
        <v>2</v>
      </c>
    </row>
    <row r="20" spans="1:5" ht="45" customHeight="1">
      <c r="A20" s="7" t="s">
        <v>61</v>
      </c>
      <c r="B20" s="3" t="s">
        <v>16</v>
      </c>
      <c r="C20" s="5" t="s">
        <v>62</v>
      </c>
      <c r="D20" s="5" t="s">
        <v>63</v>
      </c>
      <c r="E20">
        <v>2</v>
      </c>
    </row>
    <row r="21" spans="1:5" ht="45" customHeight="1">
      <c r="A21" s="7" t="s">
        <v>64</v>
      </c>
      <c r="B21" s="3" t="s">
        <v>65</v>
      </c>
      <c r="C21" s="9" t="s">
        <v>66</v>
      </c>
      <c r="D21" s="5" t="s">
        <v>67</v>
      </c>
      <c r="E21">
        <v>2</v>
      </c>
    </row>
    <row r="22" spans="1:5" ht="24.95">
      <c r="A22" s="8" t="s">
        <v>68</v>
      </c>
      <c r="B22" s="3" t="s">
        <v>65</v>
      </c>
      <c r="C22" s="5" t="s">
        <v>69</v>
      </c>
      <c r="D22" s="5" t="s">
        <v>70</v>
      </c>
      <c r="E22">
        <v>2</v>
      </c>
    </row>
    <row r="23" spans="1:5" ht="37.5">
      <c r="A23" s="4" t="s">
        <v>71</v>
      </c>
      <c r="B23" s="6" t="s">
        <v>6</v>
      </c>
      <c r="C23" s="11" t="s">
        <v>72</v>
      </c>
      <c r="D23" s="11" t="s">
        <v>73</v>
      </c>
      <c r="E23">
        <v>1</v>
      </c>
    </row>
    <row r="24" spans="1:5" ht="37.5">
      <c r="A24" s="8" t="s">
        <v>74</v>
      </c>
      <c r="B24" s="3" t="s">
        <v>6</v>
      </c>
      <c r="C24" s="10" t="s">
        <v>75</v>
      </c>
      <c r="D24" s="5" t="s">
        <v>76</v>
      </c>
      <c r="E24">
        <v>1</v>
      </c>
    </row>
    <row r="25" spans="1:5" ht="36">
      <c r="A25" s="8" t="s">
        <v>77</v>
      </c>
      <c r="B25" s="3" t="s">
        <v>6</v>
      </c>
      <c r="C25" s="5" t="s">
        <v>78</v>
      </c>
      <c r="D25" s="5" t="s">
        <v>79</v>
      </c>
      <c r="E25">
        <v>1</v>
      </c>
    </row>
    <row r="26" spans="1:5" ht="37.5">
      <c r="A26" s="8" t="s">
        <v>80</v>
      </c>
      <c r="B26" s="3" t="s">
        <v>6</v>
      </c>
      <c r="C26" s="5" t="s">
        <v>81</v>
      </c>
      <c r="D26" s="5" t="s">
        <v>82</v>
      </c>
      <c r="E26">
        <v>1</v>
      </c>
    </row>
    <row r="27" spans="1:5" ht="37.5">
      <c r="A27" s="8" t="s">
        <v>83</v>
      </c>
      <c r="B27" s="3" t="s">
        <v>6</v>
      </c>
      <c r="C27" s="5" t="s">
        <v>84</v>
      </c>
      <c r="D27" s="5" t="s">
        <v>85</v>
      </c>
      <c r="E27">
        <v>1</v>
      </c>
    </row>
    <row r="28" spans="1:5" ht="37.5">
      <c r="A28" s="8" t="s">
        <v>86</v>
      </c>
      <c r="B28" s="3" t="s">
        <v>6</v>
      </c>
      <c r="C28" s="5" t="s">
        <v>87</v>
      </c>
      <c r="D28" s="5" t="s">
        <v>88</v>
      </c>
      <c r="E28">
        <v>1</v>
      </c>
    </row>
    <row r="29" spans="1:5" ht="37.5">
      <c r="A29" s="8" t="s">
        <v>89</v>
      </c>
      <c r="B29" s="3" t="s">
        <v>6</v>
      </c>
      <c r="C29" s="5" t="s">
        <v>90</v>
      </c>
      <c r="D29" s="5" t="s">
        <v>91</v>
      </c>
      <c r="E29">
        <v>1</v>
      </c>
    </row>
    <row r="30" spans="1:5" ht="37.5">
      <c r="A30" s="8" t="s">
        <v>92</v>
      </c>
      <c r="B30" s="3" t="s">
        <v>6</v>
      </c>
      <c r="C30" s="5" t="s">
        <v>93</v>
      </c>
      <c r="D30" s="5" t="s">
        <v>94</v>
      </c>
      <c r="E30">
        <v>1</v>
      </c>
    </row>
    <row r="31" spans="1:5" ht="36">
      <c r="A31" s="8" t="s">
        <v>95</v>
      </c>
      <c r="B31" s="3" t="s">
        <v>6</v>
      </c>
      <c r="C31" s="5" t="s">
        <v>96</v>
      </c>
      <c r="D31" s="13" t="s">
        <v>97</v>
      </c>
      <c r="E31">
        <v>1</v>
      </c>
    </row>
    <row r="32" spans="1:5" ht="37.5">
      <c r="A32" s="8" t="s">
        <v>98</v>
      </c>
      <c r="B32" s="3" t="s">
        <v>6</v>
      </c>
      <c r="C32" s="5" t="s">
        <v>99</v>
      </c>
      <c r="D32" s="5" t="s">
        <v>100</v>
      </c>
      <c r="E32">
        <v>1</v>
      </c>
    </row>
    <row r="33" spans="1:5" ht="37.5">
      <c r="A33" s="8" t="s">
        <v>101</v>
      </c>
      <c r="B33" s="3" t="s">
        <v>6</v>
      </c>
      <c r="C33" s="5" t="s">
        <v>102</v>
      </c>
      <c r="D33" s="5" t="s">
        <v>103</v>
      </c>
      <c r="E33">
        <v>1</v>
      </c>
    </row>
    <row r="34" spans="1:5" ht="37.5">
      <c r="A34" s="8" t="s">
        <v>104</v>
      </c>
      <c r="B34" s="3" t="s">
        <v>6</v>
      </c>
      <c r="C34" s="5" t="s">
        <v>105</v>
      </c>
      <c r="D34" s="5" t="s">
        <v>106</v>
      </c>
      <c r="E34">
        <v>1</v>
      </c>
    </row>
    <row r="35" spans="1:5" ht="37.5">
      <c r="A35" s="8" t="s">
        <v>107</v>
      </c>
      <c r="B35" s="3" t="s">
        <v>6</v>
      </c>
      <c r="C35" s="5" t="s">
        <v>108</v>
      </c>
      <c r="D35" s="5" t="s">
        <v>109</v>
      </c>
      <c r="E35">
        <v>1</v>
      </c>
    </row>
    <row r="36" spans="1:5" ht="37.5">
      <c r="A36" s="8" t="s">
        <v>110</v>
      </c>
      <c r="B36" s="5" t="s">
        <v>6</v>
      </c>
      <c r="C36" s="5" t="s">
        <v>111</v>
      </c>
      <c r="D36" s="5" t="s">
        <v>112</v>
      </c>
      <c r="E36">
        <v>1</v>
      </c>
    </row>
    <row r="37" spans="1:5">
      <c r="E37">
        <f>SUM(E2:E36)</f>
        <v>62</v>
      </c>
    </row>
  </sheetData>
  <autoFilter ref="A1:E38" xr:uid="{00000000-0001-0000-0000-000000000000}">
    <sortState xmlns:xlrd2="http://schemas.microsoft.com/office/spreadsheetml/2017/richdata2" ref="A2:E38">
      <sortCondition descending="1" ref="E1:E38"/>
    </sortState>
  </autoFilter>
  <pageMargins left="0.75" right="0.75" top="1" bottom="1" header="0.5" footer="0.5"/>
  <pageSetup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032B3-F639-4A11-A64E-026E74B40BA4}">
  <dimension ref="A1:G39"/>
  <sheetViews>
    <sheetView topLeftCell="A7" workbookViewId="0">
      <selection activeCell="A14" sqref="A14"/>
    </sheetView>
  </sheetViews>
  <sheetFormatPr defaultColWidth="11.42578125" defaultRowHeight="14.45"/>
  <sheetData>
    <row r="1" spans="1:7">
      <c r="A1" s="22" t="s">
        <v>113</v>
      </c>
      <c r="B1" s="22"/>
      <c r="C1" s="22"/>
      <c r="D1" s="22"/>
      <c r="E1" s="22"/>
      <c r="F1" s="22"/>
      <c r="G1" s="22"/>
    </row>
    <row r="2" spans="1:7">
      <c r="A2" s="28" t="s">
        <v>114</v>
      </c>
      <c r="B2" s="28"/>
      <c r="C2" s="28"/>
      <c r="D2" s="28"/>
      <c r="E2" s="28"/>
      <c r="F2" s="28"/>
      <c r="G2" s="28"/>
    </row>
    <row r="3" spans="1:7">
      <c r="A3" s="29" t="s">
        <v>115</v>
      </c>
      <c r="B3" s="29"/>
      <c r="C3" s="29"/>
      <c r="D3" s="29"/>
      <c r="E3" s="29"/>
      <c r="F3" s="29"/>
      <c r="G3" s="29"/>
    </row>
    <row r="4" spans="1:7">
      <c r="A4" s="30" t="s">
        <v>116</v>
      </c>
      <c r="B4" s="30"/>
      <c r="C4" s="30"/>
      <c r="D4" s="30"/>
      <c r="E4" s="30"/>
      <c r="F4" s="30"/>
      <c r="G4" s="30"/>
    </row>
    <row r="5" spans="1:7">
      <c r="A5" s="31" t="s">
        <v>117</v>
      </c>
      <c r="B5" s="31"/>
      <c r="C5" s="31"/>
      <c r="D5" s="31"/>
      <c r="E5" s="31"/>
      <c r="F5" s="31"/>
      <c r="G5" s="31"/>
    </row>
    <row r="6" spans="1:7">
      <c r="A6" s="27" t="s">
        <v>118</v>
      </c>
      <c r="B6" s="27"/>
      <c r="C6" s="27"/>
      <c r="D6" s="27"/>
      <c r="E6" s="27"/>
      <c r="F6" s="27"/>
      <c r="G6" s="27"/>
    </row>
    <row r="7" spans="1:7" ht="31.5" customHeight="1">
      <c r="A7" s="23" t="s">
        <v>119</v>
      </c>
      <c r="B7" s="23"/>
      <c r="C7" s="23"/>
      <c r="D7" s="23"/>
      <c r="E7" s="23"/>
      <c r="F7" s="23"/>
      <c r="G7" s="23"/>
    </row>
    <row r="8" spans="1:7" ht="36.950000000000003" customHeight="1">
      <c r="A8" s="24" t="s">
        <v>120</v>
      </c>
      <c r="B8" s="24"/>
      <c r="C8" s="24"/>
      <c r="D8" s="24"/>
      <c r="E8" s="24"/>
      <c r="F8" s="24"/>
      <c r="G8" s="24"/>
    </row>
    <row r="9" spans="1:7" ht="39" customHeight="1">
      <c r="A9" s="25" t="s">
        <v>121</v>
      </c>
      <c r="B9" s="26"/>
      <c r="C9" s="26"/>
      <c r="D9" s="26"/>
      <c r="E9" s="26"/>
      <c r="F9" s="26"/>
      <c r="G9" s="26"/>
    </row>
    <row r="10" spans="1:7" ht="34.5" customHeight="1">
      <c r="A10" s="18" t="s">
        <v>122</v>
      </c>
      <c r="B10" s="19"/>
      <c r="C10" s="19"/>
      <c r="D10" s="19"/>
      <c r="E10" s="19"/>
      <c r="F10" s="19"/>
      <c r="G10" s="19"/>
    </row>
    <row r="11" spans="1:7" ht="35.1" customHeight="1">
      <c r="A11" s="20" t="s">
        <v>123</v>
      </c>
      <c r="B11" s="21"/>
      <c r="C11" s="21"/>
      <c r="D11" s="21"/>
      <c r="E11" s="21"/>
      <c r="F11" s="21"/>
      <c r="G11" s="21"/>
    </row>
    <row r="12" spans="1:7">
      <c r="A12" s="16" t="s">
        <v>124</v>
      </c>
      <c r="B12" s="16"/>
      <c r="C12" s="16"/>
      <c r="D12" s="16"/>
      <c r="E12" s="16"/>
      <c r="F12" s="16"/>
      <c r="G12" s="16"/>
    </row>
    <row r="13" spans="1:7" ht="56.25" customHeight="1">
      <c r="A13" s="17" t="s">
        <v>125</v>
      </c>
      <c r="B13" s="17"/>
      <c r="C13" s="17"/>
      <c r="D13" s="17"/>
      <c r="E13" s="17"/>
      <c r="F13" s="17"/>
      <c r="G13" s="17"/>
    </row>
    <row r="15" spans="1:7" ht="15"/>
    <row r="16" spans="1:7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</sheetData>
  <mergeCells count="13">
    <mergeCell ref="A1:G1"/>
    <mergeCell ref="A2:G2"/>
    <mergeCell ref="A7:G7"/>
    <mergeCell ref="A8:G8"/>
    <mergeCell ref="A9:G9"/>
    <mergeCell ref="A6:G6"/>
    <mergeCell ref="A12:G12"/>
    <mergeCell ref="A13:G13"/>
    <mergeCell ref="A3:G3"/>
    <mergeCell ref="A4:G4"/>
    <mergeCell ref="A5:G5"/>
    <mergeCell ref="A10:G10"/>
    <mergeCell ref="A11:G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6387-D28F-410B-B0E6-769445581719}">
  <dimension ref="A1:E12"/>
  <sheetViews>
    <sheetView tabSelected="1" topLeftCell="A7" workbookViewId="0">
      <selection activeCell="E13" sqref="E13"/>
    </sheetView>
  </sheetViews>
  <sheetFormatPr defaultColWidth="27.28515625" defaultRowHeight="72" customHeight="1"/>
  <sheetData>
    <row r="1" spans="1:5" ht="7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customHeight="1">
      <c r="A2" s="2" t="s">
        <v>22</v>
      </c>
      <c r="B2" s="3" t="s">
        <v>6</v>
      </c>
      <c r="C2" s="3" t="s">
        <v>23</v>
      </c>
      <c r="D2" s="3" t="s">
        <v>24</v>
      </c>
      <c r="E2">
        <v>2</v>
      </c>
    </row>
    <row r="3" spans="1:5" ht="72" customHeight="1">
      <c r="A3" s="4" t="s">
        <v>71</v>
      </c>
      <c r="B3" s="6" t="s">
        <v>6</v>
      </c>
      <c r="C3" s="14" t="s">
        <v>72</v>
      </c>
      <c r="D3" s="15" t="s">
        <v>73</v>
      </c>
      <c r="E3">
        <v>1</v>
      </c>
    </row>
    <row r="4" spans="1:5" ht="72" customHeight="1">
      <c r="A4" s="8" t="s">
        <v>74</v>
      </c>
      <c r="B4" s="3" t="s">
        <v>6</v>
      </c>
      <c r="C4" s="10" t="s">
        <v>75</v>
      </c>
      <c r="D4" s="5" t="s">
        <v>76</v>
      </c>
      <c r="E4">
        <v>1</v>
      </c>
    </row>
    <row r="5" spans="1:5" ht="72" customHeight="1">
      <c r="A5" s="7" t="s">
        <v>9</v>
      </c>
      <c r="B5" s="3" t="s">
        <v>6</v>
      </c>
      <c r="C5" s="3" t="s">
        <v>10</v>
      </c>
      <c r="D5" s="3" t="s">
        <v>11</v>
      </c>
      <c r="E5">
        <v>3</v>
      </c>
    </row>
    <row r="6" spans="1:5" ht="72" customHeight="1">
      <c r="A6" s="8" t="s">
        <v>77</v>
      </c>
      <c r="B6" s="3" t="s">
        <v>6</v>
      </c>
      <c r="C6" s="5" t="s">
        <v>78</v>
      </c>
      <c r="D6" s="5" t="s">
        <v>79</v>
      </c>
      <c r="E6">
        <v>1</v>
      </c>
    </row>
    <row r="7" spans="1:5" ht="72" customHeight="1">
      <c r="A7" s="8" t="s">
        <v>80</v>
      </c>
      <c r="B7" s="3" t="s">
        <v>6</v>
      </c>
      <c r="C7" s="5" t="s">
        <v>81</v>
      </c>
      <c r="D7" s="5" t="s">
        <v>82</v>
      </c>
      <c r="E7">
        <v>1</v>
      </c>
    </row>
    <row r="8" spans="1:5" ht="72" customHeight="1">
      <c r="A8" s="8" t="s">
        <v>86</v>
      </c>
      <c r="B8" s="3" t="s">
        <v>6</v>
      </c>
      <c r="C8" s="5" t="s">
        <v>87</v>
      </c>
      <c r="D8" s="5" t="s">
        <v>88</v>
      </c>
      <c r="E8">
        <v>1</v>
      </c>
    </row>
    <row r="9" spans="1:5" ht="72" customHeight="1">
      <c r="A9" s="8" t="s">
        <v>92</v>
      </c>
      <c r="B9" s="3" t="s">
        <v>6</v>
      </c>
      <c r="C9" s="5" t="s">
        <v>93</v>
      </c>
      <c r="D9" s="5" t="s">
        <v>94</v>
      </c>
      <c r="E9">
        <v>1</v>
      </c>
    </row>
    <row r="10" spans="1:5" ht="72" customHeight="1">
      <c r="A10" s="8" t="s">
        <v>95</v>
      </c>
      <c r="B10" s="3" t="s">
        <v>6</v>
      </c>
      <c r="C10" s="5" t="s">
        <v>96</v>
      </c>
      <c r="D10" s="13" t="s">
        <v>97</v>
      </c>
      <c r="E10">
        <v>1</v>
      </c>
    </row>
    <row r="11" spans="1:5" ht="72" customHeight="1">
      <c r="A11" s="7" t="s">
        <v>28</v>
      </c>
      <c r="B11" s="3" t="s">
        <v>6</v>
      </c>
      <c r="C11" s="3" t="s">
        <v>29</v>
      </c>
      <c r="D11" s="3" t="s">
        <v>30</v>
      </c>
      <c r="E11">
        <v>2</v>
      </c>
    </row>
    <row r="12" spans="1:5" ht="72" customHeight="1">
      <c r="E12">
        <f>SUM(E2:E11)</f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08D15-DBD1-4E46-B107-B578FC572B32}">
  <dimension ref="A1:E13"/>
  <sheetViews>
    <sheetView workbookViewId="0">
      <selection activeCell="E12" sqref="E12"/>
    </sheetView>
  </sheetViews>
  <sheetFormatPr defaultColWidth="11.42578125" defaultRowHeight="14.45"/>
  <sheetData>
    <row r="1" spans="1:5" ht="43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2.5">
      <c r="A2" s="8" t="s">
        <v>83</v>
      </c>
      <c r="B2" s="3" t="s">
        <v>6</v>
      </c>
      <c r="C2" s="5" t="s">
        <v>84</v>
      </c>
      <c r="D2" s="5" t="s">
        <v>85</v>
      </c>
      <c r="E2">
        <v>1</v>
      </c>
    </row>
    <row r="3" spans="1:5" ht="96">
      <c r="A3" s="8" t="s">
        <v>89</v>
      </c>
      <c r="B3" s="3" t="s">
        <v>6</v>
      </c>
      <c r="C3" s="5" t="s">
        <v>90</v>
      </c>
      <c r="D3" s="5" t="s">
        <v>91</v>
      </c>
      <c r="E3">
        <v>1</v>
      </c>
    </row>
    <row r="4" spans="1:5" ht="107.25">
      <c r="A4" s="8" t="s">
        <v>98</v>
      </c>
      <c r="B4" s="3" t="s">
        <v>6</v>
      </c>
      <c r="C4" s="5" t="s">
        <v>99</v>
      </c>
      <c r="D4" s="5" t="s">
        <v>100</v>
      </c>
      <c r="E4">
        <v>1</v>
      </c>
    </row>
    <row r="5" spans="1:5" ht="130.5">
      <c r="A5" s="8" t="s">
        <v>101</v>
      </c>
      <c r="B5" s="3" t="s">
        <v>6</v>
      </c>
      <c r="C5" s="5" t="s">
        <v>102</v>
      </c>
      <c r="D5" s="5" t="s">
        <v>103</v>
      </c>
      <c r="E5">
        <v>1</v>
      </c>
    </row>
    <row r="6" spans="1:5" ht="84">
      <c r="A6" s="8" t="s">
        <v>104</v>
      </c>
      <c r="B6" s="3" t="s">
        <v>6</v>
      </c>
      <c r="C6" s="5" t="s">
        <v>105</v>
      </c>
      <c r="D6" s="5" t="s">
        <v>106</v>
      </c>
      <c r="E6">
        <v>1</v>
      </c>
    </row>
    <row r="7" spans="1:5" ht="84">
      <c r="A7" s="8" t="s">
        <v>107</v>
      </c>
      <c r="B7" s="3" t="s">
        <v>6</v>
      </c>
      <c r="C7" s="5" t="s">
        <v>108</v>
      </c>
      <c r="D7" s="5" t="s">
        <v>109</v>
      </c>
      <c r="E7">
        <v>1</v>
      </c>
    </row>
    <row r="8" spans="1:5" ht="118.5">
      <c r="A8" s="8" t="s">
        <v>110</v>
      </c>
      <c r="B8" s="5" t="s">
        <v>6</v>
      </c>
      <c r="C8" s="5" t="s">
        <v>111</v>
      </c>
      <c r="D8" s="5" t="s">
        <v>112</v>
      </c>
      <c r="E8">
        <v>1</v>
      </c>
    </row>
    <row r="9" spans="1:5" ht="118.5">
      <c r="A9" s="7" t="s">
        <v>31</v>
      </c>
      <c r="B9" s="3" t="s">
        <v>6</v>
      </c>
      <c r="C9" s="12" t="s">
        <v>32</v>
      </c>
      <c r="D9" s="3" t="s">
        <v>33</v>
      </c>
      <c r="E9">
        <v>2</v>
      </c>
    </row>
    <row r="10" spans="1:5" ht="96">
      <c r="A10" s="7" t="s">
        <v>12</v>
      </c>
      <c r="B10" s="3" t="s">
        <v>6</v>
      </c>
      <c r="C10" s="9" t="s">
        <v>13</v>
      </c>
      <c r="D10" s="9" t="s">
        <v>14</v>
      </c>
      <c r="E10">
        <v>3</v>
      </c>
    </row>
    <row r="11" spans="1:5" ht="107.25">
      <c r="A11" s="7" t="s">
        <v>52</v>
      </c>
      <c r="B11" s="3" t="s">
        <v>16</v>
      </c>
      <c r="C11" s="5" t="s">
        <v>53</v>
      </c>
      <c r="D11" s="5" t="s">
        <v>54</v>
      </c>
      <c r="E11">
        <v>2</v>
      </c>
    </row>
    <row r="12" spans="1:5">
      <c r="E12">
        <f>SUM(E2:E11)</f>
        <v>14</v>
      </c>
    </row>
    <row r="13" spans="1:5" ht="1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EEAA0-2F6D-492F-B565-4DF95CD954D3}">
  <dimension ref="A1:E9"/>
  <sheetViews>
    <sheetView workbookViewId="0">
      <selection activeCell="E9" sqref="E9"/>
    </sheetView>
  </sheetViews>
  <sheetFormatPr defaultColWidth="11.42578125" defaultRowHeight="14.45"/>
  <sheetData>
    <row r="1" spans="1:5" ht="43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4">
      <c r="A2" s="7" t="s">
        <v>15</v>
      </c>
      <c r="B2" s="3" t="s">
        <v>16</v>
      </c>
      <c r="C2" s="3" t="s">
        <v>17</v>
      </c>
      <c r="D2" s="3" t="s">
        <v>18</v>
      </c>
      <c r="E2">
        <v>3</v>
      </c>
    </row>
    <row r="3" spans="1:5" ht="48">
      <c r="A3" s="7" t="s">
        <v>19</v>
      </c>
      <c r="B3" s="3" t="s">
        <v>16</v>
      </c>
      <c r="C3" s="3" t="s">
        <v>20</v>
      </c>
      <c r="D3" s="3" t="s">
        <v>21</v>
      </c>
      <c r="E3">
        <v>3</v>
      </c>
    </row>
    <row r="4" spans="1:5" ht="72">
      <c r="A4" s="7" t="s">
        <v>34</v>
      </c>
      <c r="B4" s="3" t="s">
        <v>16</v>
      </c>
      <c r="C4" s="3" t="s">
        <v>35</v>
      </c>
      <c r="D4" s="3" t="s">
        <v>36</v>
      </c>
      <c r="E4">
        <v>2</v>
      </c>
    </row>
    <row r="5" spans="1:5" ht="72">
      <c r="A5" s="7" t="s">
        <v>43</v>
      </c>
      <c r="B5" s="3" t="s">
        <v>16</v>
      </c>
      <c r="C5" s="3" t="s">
        <v>44</v>
      </c>
      <c r="D5" s="3" t="s">
        <v>45</v>
      </c>
      <c r="E5">
        <v>2</v>
      </c>
    </row>
    <row r="6" spans="1:5" ht="72">
      <c r="A6" s="7" t="s">
        <v>46</v>
      </c>
      <c r="B6" s="3" t="s">
        <v>16</v>
      </c>
      <c r="C6" s="3" t="s">
        <v>47</v>
      </c>
      <c r="D6" s="3" t="s">
        <v>48</v>
      </c>
      <c r="E6">
        <v>2</v>
      </c>
    </row>
    <row r="7" spans="1:5" ht="96">
      <c r="A7" s="7" t="s">
        <v>37</v>
      </c>
      <c r="B7" s="3" t="s">
        <v>16</v>
      </c>
      <c r="C7" s="3" t="s">
        <v>38</v>
      </c>
      <c r="D7" s="3" t="s">
        <v>39</v>
      </c>
      <c r="E7">
        <v>2</v>
      </c>
    </row>
    <row r="8" spans="1:5" ht="84">
      <c r="A8" s="7" t="s">
        <v>40</v>
      </c>
      <c r="B8" s="3" t="s">
        <v>16</v>
      </c>
      <c r="C8" s="3" t="s">
        <v>41</v>
      </c>
      <c r="D8" s="3" t="s">
        <v>42</v>
      </c>
      <c r="E8">
        <v>2</v>
      </c>
    </row>
    <row r="9" spans="1:5">
      <c r="E9">
        <f>SUM(E2:E8)</f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360F1-717A-4273-A8B2-23BB6640F176}">
  <dimension ref="A1:E11"/>
  <sheetViews>
    <sheetView topLeftCell="A6" workbookViewId="0">
      <selection activeCell="E9" sqref="E9"/>
    </sheetView>
  </sheetViews>
  <sheetFormatPr defaultColWidth="11.42578125" defaultRowHeight="14.45"/>
  <sheetData>
    <row r="1" spans="1:5" ht="43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4">
      <c r="A2" s="7" t="s">
        <v>49</v>
      </c>
      <c r="B2" s="3" t="s">
        <v>16</v>
      </c>
      <c r="C2" s="3" t="s">
        <v>50</v>
      </c>
      <c r="D2" s="3" t="s">
        <v>51</v>
      </c>
      <c r="E2">
        <v>2</v>
      </c>
    </row>
    <row r="3" spans="1:5" ht="107.25">
      <c r="A3" s="7" t="s">
        <v>55</v>
      </c>
      <c r="B3" s="3" t="s">
        <v>16</v>
      </c>
      <c r="C3" s="5" t="s">
        <v>56</v>
      </c>
      <c r="D3" s="5" t="s">
        <v>57</v>
      </c>
      <c r="E3">
        <v>2</v>
      </c>
    </row>
    <row r="4" spans="1:5" ht="118.5">
      <c r="A4" s="7" t="s">
        <v>58</v>
      </c>
      <c r="B4" s="3" t="s">
        <v>16</v>
      </c>
      <c r="C4" s="5" t="s">
        <v>59</v>
      </c>
      <c r="D4" s="5" t="s">
        <v>60</v>
      </c>
      <c r="E4">
        <v>2</v>
      </c>
    </row>
    <row r="5" spans="1:5" ht="96">
      <c r="A5" s="7" t="s">
        <v>61</v>
      </c>
      <c r="B5" s="3" t="s">
        <v>16</v>
      </c>
      <c r="C5" s="5" t="s">
        <v>62</v>
      </c>
      <c r="D5" s="5" t="s">
        <v>63</v>
      </c>
      <c r="E5">
        <v>2</v>
      </c>
    </row>
    <row r="6" spans="1:5" ht="130.5">
      <c r="A6" s="7" t="s">
        <v>64</v>
      </c>
      <c r="B6" s="3" t="s">
        <v>65</v>
      </c>
      <c r="C6" s="9" t="s">
        <v>66</v>
      </c>
      <c r="D6" s="5" t="s">
        <v>67</v>
      </c>
      <c r="E6">
        <v>2</v>
      </c>
    </row>
    <row r="7" spans="1:5" ht="96">
      <c r="A7" s="8" t="s">
        <v>68</v>
      </c>
      <c r="B7" s="3" t="s">
        <v>65</v>
      </c>
      <c r="C7" s="5" t="s">
        <v>69</v>
      </c>
      <c r="D7" s="5" t="s">
        <v>70</v>
      </c>
      <c r="E7">
        <v>2</v>
      </c>
    </row>
    <row r="8" spans="1:5" ht="84">
      <c r="A8" s="7" t="s">
        <v>5</v>
      </c>
      <c r="B8" s="3" t="s">
        <v>6</v>
      </c>
      <c r="C8" s="3" t="s">
        <v>7</v>
      </c>
      <c r="D8" s="3" t="s">
        <v>8</v>
      </c>
      <c r="E8">
        <v>4</v>
      </c>
    </row>
    <row r="9" spans="1:5">
      <c r="E9">
        <f>SUM(E2:E8)</f>
        <v>16</v>
      </c>
    </row>
    <row r="10" spans="1:5" ht="15"/>
    <row r="11" spans="1:5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HARVIN ALBERTO CHAN TUT</cp:lastModifiedBy>
  <cp:revision/>
  <dcterms:created xsi:type="dcterms:W3CDTF">2026-07-01T02:57:26Z</dcterms:created>
  <dcterms:modified xsi:type="dcterms:W3CDTF">2026-07-03T14:38:06Z</dcterms:modified>
  <cp:category/>
  <cp:contentStatus/>
</cp:coreProperties>
</file>